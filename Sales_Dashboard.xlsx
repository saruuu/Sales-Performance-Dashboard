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 Line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Countries" sheetId="4" state="visible" r:id="rId4"/>
    <sheet xmlns:r="http://schemas.openxmlformats.org/officeDocument/2006/relationships" name="Deal Size" sheetId="5" state="visible" r:id="rId5"/>
    <sheet xmlns:r="http://schemas.openxmlformats.org/officeDocument/2006/relationships"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595959"/>
      <sz val="9"/>
    </font>
    <font>
      <name val="Arial"/>
      <color rgb="00FFFFFF"/>
      <sz val="9"/>
    </font>
    <font>
      <name val="Arial"/>
      <b val="1"/>
      <color rgb="00FFFFFF"/>
      <sz val="16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F3864"/>
      </bottom>
    </border>
    <border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49" fontId="6" fillId="8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" fontId="2" fillId="9" borderId="1" applyAlignment="1" pivotButton="0" quotePrefix="0" xfId="0">
      <alignment horizontal="center" vertical="center"/>
    </xf>
    <xf numFmtId="49" fontId="2" fillId="9" borderId="1" applyAlignment="1" pivotButton="0" quotePrefix="0" xfId="0">
      <alignment horizontal="left" vertical="center"/>
    </xf>
    <xf numFmtId="49" fontId="2" fillId="9" borderId="1" applyAlignment="1" pivotButton="0" quotePrefix="0" xfId="0">
      <alignment horizontal="center" vertical="center"/>
    </xf>
    <xf numFmtId="165" fontId="2" fillId="9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7" fillId="0" borderId="2" pivotButton="0" quotePrefix="0" xfId="0"/>
    <xf numFmtId="0" fontId="9" fillId="9" borderId="0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'Product Line'!B1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'Product Line'!$A$2:$A$8</f>
            </numRef>
          </cat>
          <val>
            <numRef>
              <f>'Product Line'!$B$2:$B$8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2003</v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'Monthly'!$B$2:$B$13</f>
            </numRef>
          </cat>
          <val>
            <numRef>
              <f>'Monthly'!$C$2:$C$13</f>
            </numRef>
          </val>
        </ser>
        <ser>
          <idx val="1"/>
          <order val="1"/>
          <tx>
            <v>2004</v>
          </tx>
          <spPr>
            <a:ln xmlns:a="http://schemas.openxmlformats.org/drawingml/2006/main" w="20000">
              <a:solidFill>
                <a:srgbClr val="1ABC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'Monthly'!$B$2:$B$13</f>
            </numRef>
          </cat>
          <val>
            <numRef>
              <f>'Monthly'!$C$14:$C$25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'Deal Size'!C1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ABC9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cat>
            <numRef>
              <f>'Deal Size'!$A$2:$A$4</f>
            </numRef>
          </cat>
          <val>
            <numRef>
              <f>'Deal Size'!$C$2:$C$4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'Countries'!C1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cat>
            <numRef>
              <f>'Countries'!$A$2:$A$11</f>
            </numRef>
          </cat>
          <val>
            <numRef>
              <f>'Countries'!$C$2:$C$11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61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61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28</row>
      <rowOff>0</rowOff>
    </from>
    <ext cx="61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9"/>
  <sheetViews>
    <sheetView showGridLines="0" showRowColHeaders="0" workbookViewId="0">
      <selection activeCell="A1" sqref="A1"/>
    </sheetView>
  </sheetViews>
  <sheetFormatPr baseColWidth="8" defaultRowHeight="15"/>
  <cols>
    <col width="1.5" customWidth="1" min="1" max="1"/>
    <col width="4" customWidth="1" min="2" max="2"/>
    <col width="32" customWidth="1" min="3" max="3"/>
    <col width="14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1.5" customWidth="1" min="10" max="10"/>
  </cols>
  <sheetData>
    <row r="1" ht="8" customHeight="1"/>
    <row r="2" ht="50" customHeight="1">
      <c r="B2" s="1" t="inlineStr">
        <is>
          <t>Sales Performance Dashboard  |  2003–2005</t>
        </is>
      </c>
    </row>
    <row r="3" ht="8" customHeight="1"/>
    <row r="4" ht="28" customHeight="1">
      <c r="B4" s="2" t="inlineStr">
        <is>
          <t>KEY PERFORMANCE INDICATORS</t>
        </is>
      </c>
    </row>
    <row r="5" ht="8" customHeight="1"/>
    <row r="6" ht="50" customHeight="1">
      <c r="B6" s="3" t="inlineStr">
        <is>
          <t>Total Revenue</t>
        </is>
      </c>
      <c r="D6" s="4" t="inlineStr">
        <is>
          <t>Total Orders</t>
        </is>
      </c>
      <c r="F6" s="5" t="inlineStr">
        <is>
          <t>Top Country</t>
        </is>
      </c>
      <c r="H6" s="6" t="inlineStr">
        <is>
          <t>Top Customer</t>
        </is>
      </c>
    </row>
    <row r="7" ht="50" customHeight="1">
      <c r="B7" s="7">
        <f>SUM('Product Line'!B2:B8)</f>
        <v/>
      </c>
      <c r="D7" s="8">
        <f>SUM('Product Line'!C2:C8)</f>
        <v/>
      </c>
      <c r="F7" s="9">
        <f>'Countries'!A2</f>
        <v/>
      </c>
      <c r="H7" s="10">
        <f>'Customers'!A2</f>
        <v/>
      </c>
    </row>
    <row r="8" ht="8" customHeight="1"/>
    <row r="9" ht="18" customHeight="1">
      <c r="B9" s="11" t="inlineStr">
        <is>
          <t>Revenue by Product Line</t>
        </is>
      </c>
      <c r="F9" s="11" t="inlineStr">
        <is>
          <t>Monthly Revenue Trend</t>
        </is>
      </c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>
      <c r="B28" s="11" t="inlineStr">
        <is>
          <t>Deal Size Breakdown</t>
        </is>
      </c>
      <c r="F28" s="11" t="inlineStr">
        <is>
          <t>Top 10 Countries by Revenue</t>
        </is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8" customHeight="1">
      <c r="B47" s="11" t="inlineStr">
        <is>
          <t>Top 10 Customers by Revenue</t>
        </is>
      </c>
    </row>
    <row r="48" ht="22" customHeight="1">
      <c r="B48" s="12" t="inlineStr">
        <is>
          <t>#</t>
        </is>
      </c>
      <c r="C48" s="12" t="inlineStr">
        <is>
          <t>Customer Name</t>
        </is>
      </c>
      <c r="D48" s="12" t="inlineStr">
        <is>
          <t>Country</t>
        </is>
      </c>
      <c r="E48" s="12" t="inlineStr">
        <is>
          <t>Total Spent</t>
        </is>
      </c>
      <c r="F48" s="12" t="inlineStr">
        <is>
          <t>Orders</t>
        </is>
      </c>
      <c r="G48" s="12" t="inlineStr">
        <is>
          <t>Avg Order Value</t>
        </is>
      </c>
    </row>
    <row r="49" ht="18" customHeight="1">
      <c r="B49" s="13" t="n">
        <v>1</v>
      </c>
      <c r="C49" s="14" t="inlineStr">
        <is>
          <t>Euro Shopping Channel</t>
        </is>
      </c>
      <c r="D49" s="15" t="inlineStr">
        <is>
          <t>Spain</t>
        </is>
      </c>
      <c r="E49" s="16" t="n">
        <v>912294.11</v>
      </c>
      <c r="F49" s="13" t="n">
        <v>26</v>
      </c>
      <c r="G49" s="16" t="n">
        <v>3522.37</v>
      </c>
    </row>
    <row r="50" ht="18" customHeight="1">
      <c r="B50" s="17" t="n">
        <v>2</v>
      </c>
      <c r="C50" s="18" t="inlineStr">
        <is>
          <t>Mini Gifts Distributors Ltd.</t>
        </is>
      </c>
      <c r="D50" s="19" t="inlineStr">
        <is>
          <t>USA</t>
        </is>
      </c>
      <c r="E50" s="20" t="n">
        <v>654858.0600000001</v>
      </c>
      <c r="F50" s="17" t="n">
        <v>17</v>
      </c>
      <c r="G50" s="20" t="n">
        <v>3638.1</v>
      </c>
    </row>
    <row r="51" ht="18" customHeight="1">
      <c r="B51" s="21" t="n">
        <v>3</v>
      </c>
      <c r="C51" s="22" t="inlineStr">
        <is>
          <t>Australian Collectors, Co.</t>
        </is>
      </c>
      <c r="D51" s="23" t="inlineStr">
        <is>
          <t>Australia</t>
        </is>
      </c>
      <c r="E51" s="24" t="n">
        <v>200995.41</v>
      </c>
      <c r="F51" s="21" t="n">
        <v>5</v>
      </c>
      <c r="G51" s="24" t="n">
        <v>3654.46</v>
      </c>
    </row>
    <row r="52" ht="18" customHeight="1">
      <c r="B52" s="17" t="n">
        <v>4</v>
      </c>
      <c r="C52" s="18" t="inlineStr">
        <is>
          <t>Muscle Machine Inc</t>
        </is>
      </c>
      <c r="D52" s="19" t="inlineStr">
        <is>
          <t>USA</t>
        </is>
      </c>
      <c r="E52" s="20" t="n">
        <v>197736.94</v>
      </c>
      <c r="F52" s="17" t="n">
        <v>4</v>
      </c>
      <c r="G52" s="20" t="n">
        <v>4119.52</v>
      </c>
    </row>
    <row r="53" ht="18" customHeight="1">
      <c r="B53" s="21" t="n">
        <v>5</v>
      </c>
      <c r="C53" s="22" t="inlineStr">
        <is>
          <t>La Rochelle Gifts</t>
        </is>
      </c>
      <c r="D53" s="23" t="inlineStr">
        <is>
          <t>France</t>
        </is>
      </c>
      <c r="E53" s="24" t="n">
        <v>180124.9</v>
      </c>
      <c r="F53" s="21" t="n">
        <v>4</v>
      </c>
      <c r="G53" s="24" t="n">
        <v>3398.58</v>
      </c>
    </row>
    <row r="54" ht="18" customHeight="1">
      <c r="B54" s="17" t="n">
        <v>6</v>
      </c>
      <c r="C54" s="18" t="inlineStr">
        <is>
          <t>Dragon Souveniers, Ltd.</t>
        </is>
      </c>
      <c r="D54" s="19" t="inlineStr">
        <is>
          <t>Singapore</t>
        </is>
      </c>
      <c r="E54" s="20" t="n">
        <v>172989.68</v>
      </c>
      <c r="F54" s="17" t="n">
        <v>5</v>
      </c>
      <c r="G54" s="20" t="n">
        <v>4023.02</v>
      </c>
    </row>
    <row r="55" ht="18" customHeight="1">
      <c r="B55" s="21" t="n">
        <v>7</v>
      </c>
      <c r="C55" s="22" t="inlineStr">
        <is>
          <t>Land of Toys Inc.</t>
        </is>
      </c>
      <c r="D55" s="23" t="inlineStr">
        <is>
          <t>USA</t>
        </is>
      </c>
      <c r="E55" s="24" t="n">
        <v>164069.44</v>
      </c>
      <c r="F55" s="21" t="n">
        <v>4</v>
      </c>
      <c r="G55" s="24" t="n">
        <v>3348.36</v>
      </c>
    </row>
    <row r="56" ht="18" customHeight="1">
      <c r="B56" s="17" t="n">
        <v>8</v>
      </c>
      <c r="C56" s="18" t="inlineStr">
        <is>
          <t>The Sharp Gifts Warehouse</t>
        </is>
      </c>
      <c r="D56" s="19" t="inlineStr">
        <is>
          <t>USA</t>
        </is>
      </c>
      <c r="E56" s="20" t="n">
        <v>160010.27</v>
      </c>
      <c r="F56" s="17" t="n">
        <v>4</v>
      </c>
      <c r="G56" s="20" t="n">
        <v>4000.26</v>
      </c>
    </row>
    <row r="57" ht="18" customHeight="1">
      <c r="B57" s="21" t="n">
        <v>9</v>
      </c>
      <c r="C57" s="22" t="inlineStr">
        <is>
          <t>AV Stores, Co.</t>
        </is>
      </c>
      <c r="D57" s="23" t="inlineStr">
        <is>
          <t>UK</t>
        </is>
      </c>
      <c r="E57" s="24" t="n">
        <v>157807.81</v>
      </c>
      <c r="F57" s="21" t="n">
        <v>3</v>
      </c>
      <c r="G57" s="24" t="n">
        <v>3094.27</v>
      </c>
    </row>
    <row r="58" ht="18" customHeight="1">
      <c r="B58" s="17" t="n">
        <v>10</v>
      </c>
      <c r="C58" s="18" t="inlineStr">
        <is>
          <t>Anna's Decorations, Ltd</t>
        </is>
      </c>
      <c r="D58" s="19" t="inlineStr">
        <is>
          <t>Australia</t>
        </is>
      </c>
      <c r="E58" s="20" t="n">
        <v>153996.13</v>
      </c>
      <c r="F58" s="17" t="n">
        <v>4</v>
      </c>
      <c r="G58" s="20" t="n">
        <v>3347.74</v>
      </c>
    </row>
    <row r="59" ht="15" customHeight="1"/>
    <row r="60" ht="15" customHeight="1"/>
    <row r="61" ht="18" customHeight="1">
      <c r="B61" s="25" t="inlineStr">
        <is>
          <t>Key Insights</t>
        </is>
      </c>
    </row>
    <row r="62" ht="16" customHeight="1">
      <c r="B62" s="26" t="inlineStr">
        <is>
          <t>▶  Classic Cars dominates revenue</t>
        </is>
      </c>
    </row>
    <row r="63" ht="22" customHeight="1">
      <c r="B63" s="27" t="inlineStr">
        <is>
          <t>Classic Cars generates $3.9M — 39% of all revenue. Prioritise stock and marketing for this line.</t>
        </is>
      </c>
    </row>
    <row r="64" ht="16" customHeight="1">
      <c r="B64" s="26" t="inlineStr">
        <is>
          <t>▶  November is peak month every year</t>
        </is>
      </c>
    </row>
    <row r="65" ht="22" customHeight="1">
      <c r="B65" s="27" t="inlineStr">
        <is>
          <t>November 2003: $1.03M | November 2004: $1.09M. Plan inventory and staffing around this spike.</t>
        </is>
      </c>
    </row>
    <row r="66" ht="16" customHeight="1">
      <c r="B66" s="26" t="inlineStr">
        <is>
          <t>▶  Customer concentration risk</t>
        </is>
      </c>
    </row>
    <row r="67" ht="22" customHeight="1">
      <c r="B67" s="27" t="inlineStr">
        <is>
          <t>Top 2 customers (Euro Shopping Channel + Mini Gifts) account for $1.57M — 15.6% of total revenue.</t>
        </is>
      </c>
    </row>
    <row r="68" ht="16" customHeight="1">
      <c r="B68" s="26" t="inlineStr">
        <is>
          <t>▶  EMEA is the biggest territory</t>
        </is>
      </c>
    </row>
    <row r="69" ht="22" customHeight="1">
      <c r="B69" s="27" t="inlineStr">
        <is>
          <t>Spain + France + UK + Italy = ~31% of revenue. USA alone = 36%, but EMEA as a block is larger.</t>
        </is>
      </c>
    </row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</sheetData>
  <mergeCells count="24">
    <mergeCell ref="B9:E9"/>
    <mergeCell ref="B62:I62"/>
    <mergeCell ref="B7:C7"/>
    <mergeCell ref="F9:I9"/>
    <mergeCell ref="B47:I47"/>
    <mergeCell ref="F6:G6"/>
    <mergeCell ref="B66:I66"/>
    <mergeCell ref="F7:G7"/>
    <mergeCell ref="D6:E6"/>
    <mergeCell ref="H6:I6"/>
    <mergeCell ref="B2:I2"/>
    <mergeCell ref="B67:I67"/>
    <mergeCell ref="B61:I61"/>
    <mergeCell ref="D7:E7"/>
    <mergeCell ref="B69:I69"/>
    <mergeCell ref="H7:I7"/>
    <mergeCell ref="B65:I65"/>
    <mergeCell ref="B6:C6"/>
    <mergeCell ref="B68:I68"/>
    <mergeCell ref="B64:I64"/>
    <mergeCell ref="B63:I63"/>
    <mergeCell ref="B28:E28"/>
    <mergeCell ref="B4:I4"/>
    <mergeCell ref="F28:I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</cols>
  <sheetData>
    <row r="1" ht="22" customHeight="1">
      <c r="A1" s="12" t="inlineStr">
        <is>
          <t>Product Line</t>
        </is>
      </c>
      <c r="B1" s="12" t="inlineStr">
        <is>
          <t>Total Revenue</t>
        </is>
      </c>
      <c r="C1" s="12" t="inlineStr">
        <is>
          <t>Total Orders</t>
        </is>
      </c>
      <c r="D1" s="12" t="inlineStr">
        <is>
          <t>Avg Order Value</t>
        </is>
      </c>
    </row>
    <row r="2">
      <c r="A2" s="28" t="inlineStr">
        <is>
          <t>Classic Cars</t>
        </is>
      </c>
      <c r="B2" s="29" t="n">
        <v>3919615.66</v>
      </c>
      <c r="C2" s="28" t="n">
        <v>199</v>
      </c>
      <c r="D2" s="29" t="n">
        <v>4053.38</v>
      </c>
    </row>
    <row r="3">
      <c r="A3" s="30" t="inlineStr">
        <is>
          <t>Vintage Cars</t>
        </is>
      </c>
      <c r="B3" s="31" t="n">
        <v>1903150.84</v>
      </c>
      <c r="C3" s="30" t="n">
        <v>175</v>
      </c>
      <c r="D3" s="31" t="n">
        <v>3135.34</v>
      </c>
    </row>
    <row r="4">
      <c r="A4" s="28" t="inlineStr">
        <is>
          <t>Motorcycles</t>
        </is>
      </c>
      <c r="B4" s="29" t="n">
        <v>1166388.34</v>
      </c>
      <c r="C4" s="28" t="n">
        <v>72</v>
      </c>
      <c r="D4" s="29" t="n">
        <v>3523.83</v>
      </c>
    </row>
    <row r="5">
      <c r="A5" s="30" t="inlineStr">
        <is>
          <t>Trucks and Buses</t>
        </is>
      </c>
      <c r="B5" s="31" t="n">
        <v>1127789.84</v>
      </c>
      <c r="C5" s="30" t="n">
        <v>73</v>
      </c>
      <c r="D5" s="31" t="n">
        <v>3746.81</v>
      </c>
    </row>
    <row r="6">
      <c r="A6" s="28" t="inlineStr">
        <is>
          <t>Planes</t>
        </is>
      </c>
      <c r="B6" s="29" t="n">
        <v>975003.5699999999</v>
      </c>
      <c r="C6" s="28" t="n">
        <v>59</v>
      </c>
      <c r="D6" s="29" t="n">
        <v>3186.29</v>
      </c>
    </row>
    <row r="7">
      <c r="A7" s="30" t="inlineStr">
        <is>
          <t>Ships</t>
        </is>
      </c>
      <c r="B7" s="31" t="n">
        <v>714437.13</v>
      </c>
      <c r="C7" s="30" t="n">
        <v>65</v>
      </c>
      <c r="D7" s="31" t="n">
        <v>3053.15</v>
      </c>
    </row>
    <row r="8">
      <c r="A8" s="28" t="inlineStr">
        <is>
          <t>Trains</t>
        </is>
      </c>
      <c r="B8" s="29" t="n">
        <v>226243.47</v>
      </c>
      <c r="C8" s="28" t="n">
        <v>45</v>
      </c>
      <c r="D8" s="29" t="n">
        <v>2938.23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</cols>
  <sheetData>
    <row r="1" ht="22" customHeight="1">
      <c r="A1" s="12" t="inlineStr">
        <is>
          <t>Year</t>
        </is>
      </c>
      <c r="B1" s="12" t="inlineStr">
        <is>
          <t>Month</t>
        </is>
      </c>
      <c r="C1" s="12" t="inlineStr">
        <is>
          <t>Monthly Revenue</t>
        </is>
      </c>
      <c r="D1" s="12" t="inlineStr">
        <is>
          <t>Orders</t>
        </is>
      </c>
    </row>
    <row r="2">
      <c r="A2" s="28" t="n">
        <v>2003</v>
      </c>
      <c r="B2" s="28" t="n">
        <v>1</v>
      </c>
      <c r="C2" s="29" t="n">
        <v>129753.6</v>
      </c>
      <c r="D2" s="28" t="n">
        <v>5</v>
      </c>
    </row>
    <row r="3">
      <c r="A3" s="30" t="n">
        <v>2003</v>
      </c>
      <c r="B3" s="30" t="n">
        <v>2</v>
      </c>
      <c r="C3" s="31" t="n">
        <v>140836.19</v>
      </c>
      <c r="D3" s="30" t="n">
        <v>3</v>
      </c>
    </row>
    <row r="4">
      <c r="A4" s="28" t="n">
        <v>2003</v>
      </c>
      <c r="B4" s="28" t="n">
        <v>3</v>
      </c>
      <c r="C4" s="29" t="n">
        <v>174504.9</v>
      </c>
      <c r="D4" s="28" t="n">
        <v>6</v>
      </c>
    </row>
    <row r="5">
      <c r="A5" s="30" t="n">
        <v>2003</v>
      </c>
      <c r="B5" s="30" t="n">
        <v>4</v>
      </c>
      <c r="C5" s="31" t="n">
        <v>201609.55</v>
      </c>
      <c r="D5" s="30" t="n">
        <v>7</v>
      </c>
    </row>
    <row r="6">
      <c r="A6" s="28" t="n">
        <v>2003</v>
      </c>
      <c r="B6" s="28" t="n">
        <v>5</v>
      </c>
      <c r="C6" s="29" t="n">
        <v>192673.11</v>
      </c>
      <c r="D6" s="28" t="n">
        <v>6</v>
      </c>
    </row>
    <row r="7">
      <c r="A7" s="30" t="n">
        <v>2003</v>
      </c>
      <c r="B7" s="30" t="n">
        <v>6</v>
      </c>
      <c r="C7" s="31" t="n">
        <v>168082.56</v>
      </c>
      <c r="D7" s="30" t="n">
        <v>6</v>
      </c>
    </row>
    <row r="8">
      <c r="A8" s="28" t="n">
        <v>2003</v>
      </c>
      <c r="B8" s="28" t="n">
        <v>7</v>
      </c>
      <c r="C8" s="29" t="n">
        <v>187731.88</v>
      </c>
      <c r="D8" s="28" t="n">
        <v>6</v>
      </c>
    </row>
    <row r="9">
      <c r="A9" s="30" t="n">
        <v>2003</v>
      </c>
      <c r="B9" s="30" t="n">
        <v>8</v>
      </c>
      <c r="C9" s="31" t="n">
        <v>197809.3</v>
      </c>
      <c r="D9" s="30" t="n">
        <v>5</v>
      </c>
    </row>
    <row r="10">
      <c r="A10" s="28" t="n">
        <v>2003</v>
      </c>
      <c r="B10" s="28" t="n">
        <v>9</v>
      </c>
      <c r="C10" s="29" t="n">
        <v>263973.36</v>
      </c>
      <c r="D10" s="28" t="n">
        <v>8</v>
      </c>
    </row>
    <row r="11">
      <c r="A11" s="30" t="n">
        <v>2003</v>
      </c>
      <c r="B11" s="30" t="n">
        <v>10</v>
      </c>
      <c r="C11" s="31" t="n">
        <v>568290.97</v>
      </c>
      <c r="D11" s="30" t="n">
        <v>17</v>
      </c>
    </row>
    <row r="12">
      <c r="A12" s="28" t="n">
        <v>2003</v>
      </c>
      <c r="B12" s="28" t="n">
        <v>11</v>
      </c>
      <c r="C12" s="29" t="n">
        <v>1029837.66</v>
      </c>
      <c r="D12" s="28" t="n">
        <v>28</v>
      </c>
    </row>
    <row r="13">
      <c r="A13" s="30" t="n">
        <v>2003</v>
      </c>
      <c r="B13" s="30" t="n">
        <v>12</v>
      </c>
      <c r="C13" s="31" t="n">
        <v>261876.46</v>
      </c>
      <c r="D13" s="30" t="n">
        <v>7</v>
      </c>
    </row>
    <row r="14">
      <c r="A14" s="28" t="n">
        <v>2004</v>
      </c>
      <c r="B14" s="28" t="n">
        <v>1</v>
      </c>
      <c r="C14" s="29" t="n">
        <v>316577.42</v>
      </c>
      <c r="D14" s="28" t="n">
        <v>8</v>
      </c>
    </row>
    <row r="15">
      <c r="A15" s="30" t="n">
        <v>2004</v>
      </c>
      <c r="B15" s="30" t="n">
        <v>2</v>
      </c>
      <c r="C15" s="31" t="n">
        <v>311419.53</v>
      </c>
      <c r="D15" s="30" t="n">
        <v>10</v>
      </c>
    </row>
    <row r="16">
      <c r="A16" s="28" t="n">
        <v>2004</v>
      </c>
      <c r="B16" s="28" t="n">
        <v>3</v>
      </c>
      <c r="C16" s="29" t="n">
        <v>205733.73</v>
      </c>
      <c r="D16" s="28" t="n">
        <v>7</v>
      </c>
    </row>
    <row r="17">
      <c r="A17" s="30" t="n">
        <v>2004</v>
      </c>
      <c r="B17" s="30" t="n">
        <v>4</v>
      </c>
      <c r="C17" s="31" t="n">
        <v>206148.12</v>
      </c>
      <c r="D17" s="30" t="n">
        <v>10</v>
      </c>
    </row>
    <row r="18">
      <c r="A18" s="28" t="n">
        <v>2004</v>
      </c>
      <c r="B18" s="28" t="n">
        <v>5</v>
      </c>
      <c r="C18" s="29" t="n">
        <v>273438.39</v>
      </c>
      <c r="D18" s="28" t="n">
        <v>8</v>
      </c>
    </row>
    <row r="19">
      <c r="A19" s="30" t="n">
        <v>2004</v>
      </c>
      <c r="B19" s="30" t="n">
        <v>6</v>
      </c>
      <c r="C19" s="31" t="n">
        <v>286674.22</v>
      </c>
      <c r="D19" s="30" t="n">
        <v>10</v>
      </c>
    </row>
    <row r="20">
      <c r="A20" s="28" t="n">
        <v>2004</v>
      </c>
      <c r="B20" s="28" t="n">
        <v>7</v>
      </c>
      <c r="C20" s="29" t="n">
        <v>327144.09</v>
      </c>
      <c r="D20" s="28" t="n">
        <v>10</v>
      </c>
    </row>
    <row r="21">
      <c r="A21" s="30" t="n">
        <v>2004</v>
      </c>
      <c r="B21" s="30" t="n">
        <v>8</v>
      </c>
      <c r="C21" s="31" t="n">
        <v>461501.27</v>
      </c>
      <c r="D21" s="30" t="n">
        <v>12</v>
      </c>
    </row>
    <row r="22">
      <c r="A22" s="28" t="n">
        <v>2004</v>
      </c>
      <c r="B22" s="28" t="n">
        <v>9</v>
      </c>
      <c r="C22" s="29" t="n">
        <v>320750.91</v>
      </c>
      <c r="D22" s="28" t="n">
        <v>12</v>
      </c>
    </row>
    <row r="23">
      <c r="A23" s="30" t="n">
        <v>2004</v>
      </c>
      <c r="B23" s="30" t="n">
        <v>10</v>
      </c>
      <c r="C23" s="31" t="n">
        <v>552924.25</v>
      </c>
      <c r="D23" s="30" t="n">
        <v>13</v>
      </c>
    </row>
    <row r="24">
      <c r="A24" s="28" t="n">
        <v>2004</v>
      </c>
      <c r="B24" s="28" t="n">
        <v>11</v>
      </c>
      <c r="C24" s="29" t="n">
        <v>1089048.01</v>
      </c>
      <c r="D24" s="28" t="n">
        <v>33</v>
      </c>
    </row>
    <row r="25">
      <c r="A25" s="30" t="n">
        <v>2004</v>
      </c>
      <c r="B25" s="30" t="n">
        <v>12</v>
      </c>
      <c r="C25" s="31" t="n">
        <v>372802.66</v>
      </c>
      <c r="D25" s="30" t="n">
        <v>11</v>
      </c>
    </row>
    <row r="26">
      <c r="A26" s="28" t="n">
        <v>2005</v>
      </c>
      <c r="B26" s="28" t="n">
        <v>1</v>
      </c>
      <c r="C26" s="29" t="n">
        <v>339543.42</v>
      </c>
      <c r="D26" s="28" t="n">
        <v>12</v>
      </c>
    </row>
    <row r="27">
      <c r="A27" s="30" t="n">
        <v>2005</v>
      </c>
      <c r="B27" s="30" t="n">
        <v>2</v>
      </c>
      <c r="C27" s="31" t="n">
        <v>358186.18</v>
      </c>
      <c r="D27" s="30" t="n">
        <v>12</v>
      </c>
    </row>
    <row r="28">
      <c r="A28" s="28" t="n">
        <v>2005</v>
      </c>
      <c r="B28" s="28" t="n">
        <v>3</v>
      </c>
      <c r="C28" s="29" t="n">
        <v>374262.76</v>
      </c>
      <c r="D28" s="28" t="n">
        <v>12</v>
      </c>
    </row>
    <row r="29">
      <c r="A29" s="30" t="n">
        <v>2005</v>
      </c>
      <c r="B29" s="30" t="n">
        <v>4</v>
      </c>
      <c r="C29" s="31" t="n">
        <v>261633.29</v>
      </c>
      <c r="D29" s="30" t="n">
        <v>9</v>
      </c>
    </row>
    <row r="30">
      <c r="A30" s="28" t="n">
        <v>2005</v>
      </c>
      <c r="B30" s="28" t="n">
        <v>5</v>
      </c>
      <c r="C30" s="29" t="n">
        <v>457861.06</v>
      </c>
      <c r="D30" s="2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12" customWidth="1" min="5" max="5"/>
  </cols>
  <sheetData>
    <row r="1" ht="22" customHeight="1">
      <c r="A1" s="12" t="inlineStr">
        <is>
          <t>Country</t>
        </is>
      </c>
      <c r="B1" s="12" t="inlineStr">
        <is>
          <t>Territory</t>
        </is>
      </c>
      <c r="C1" s="12" t="inlineStr">
        <is>
          <t>Total Revenue</t>
        </is>
      </c>
      <c r="D1" s="12" t="inlineStr">
        <is>
          <t>Total Orders</t>
        </is>
      </c>
      <c r="E1" s="12" t="inlineStr">
        <is>
          <t>Revenue %</t>
        </is>
      </c>
    </row>
    <row r="2">
      <c r="A2" s="28" t="inlineStr">
        <is>
          <t>USA</t>
        </is>
      </c>
      <c r="B2" s="28" t="inlineStr">
        <is>
          <t>NA</t>
        </is>
      </c>
      <c r="C2" s="29" t="n">
        <v>3627982.83</v>
      </c>
      <c r="D2" s="28" t="n">
        <v>112</v>
      </c>
      <c r="E2" s="29" t="n">
        <v>36.16</v>
      </c>
    </row>
    <row r="3">
      <c r="A3" s="30" t="inlineStr">
        <is>
          <t>Spain</t>
        </is>
      </c>
      <c r="B3" s="30" t="inlineStr">
        <is>
          <t>EMEA</t>
        </is>
      </c>
      <c r="C3" s="31" t="n">
        <v>1215686.92</v>
      </c>
      <c r="D3" s="30" t="n">
        <v>36</v>
      </c>
      <c r="E3" s="31" t="n">
        <v>12.12</v>
      </c>
    </row>
    <row r="4">
      <c r="A4" s="28" t="inlineStr">
        <is>
          <t>France</t>
        </is>
      </c>
      <c r="B4" s="28" t="inlineStr">
        <is>
          <t>EMEA</t>
        </is>
      </c>
      <c r="C4" s="29" t="n">
        <v>1110916.52</v>
      </c>
      <c r="D4" s="28" t="n">
        <v>37</v>
      </c>
      <c r="E4" s="29" t="n">
        <v>11.07</v>
      </c>
    </row>
    <row r="5">
      <c r="A5" s="30" t="inlineStr">
        <is>
          <t>Australia</t>
        </is>
      </c>
      <c r="B5" s="30" t="inlineStr">
        <is>
          <t>APAC</t>
        </is>
      </c>
      <c r="C5" s="31" t="n">
        <v>630623.1</v>
      </c>
      <c r="D5" s="30" t="n">
        <v>19</v>
      </c>
      <c r="E5" s="31" t="n">
        <v>6.29</v>
      </c>
    </row>
    <row r="6">
      <c r="A6" s="28" t="inlineStr">
        <is>
          <t>UK</t>
        </is>
      </c>
      <c r="B6" s="28" t="inlineStr">
        <is>
          <t>EMEA</t>
        </is>
      </c>
      <c r="C6" s="29" t="n">
        <v>478880.46</v>
      </c>
      <c r="D6" s="28" t="n">
        <v>13</v>
      </c>
      <c r="E6" s="29" t="n">
        <v>4.77</v>
      </c>
    </row>
    <row r="7">
      <c r="A7" s="30" t="inlineStr">
        <is>
          <t>Italy</t>
        </is>
      </c>
      <c r="B7" s="30" t="inlineStr">
        <is>
          <t>EMEA</t>
        </is>
      </c>
      <c r="C7" s="31" t="n">
        <v>374674.31</v>
      </c>
      <c r="D7" s="30" t="n">
        <v>8</v>
      </c>
      <c r="E7" s="31" t="n">
        <v>3.73</v>
      </c>
    </row>
    <row r="8">
      <c r="A8" s="28" t="inlineStr">
        <is>
          <t>Finland</t>
        </is>
      </c>
      <c r="B8" s="28" t="inlineStr">
        <is>
          <t>EMEA</t>
        </is>
      </c>
      <c r="C8" s="29" t="n">
        <v>329581.91</v>
      </c>
      <c r="D8" s="28" t="n">
        <v>9</v>
      </c>
      <c r="E8" s="29" t="n">
        <v>3.29</v>
      </c>
    </row>
    <row r="9">
      <c r="A9" s="30" t="inlineStr">
        <is>
          <t>Norway</t>
        </is>
      </c>
      <c r="B9" s="30" t="inlineStr">
        <is>
          <t>EMEA</t>
        </is>
      </c>
      <c r="C9" s="31" t="n">
        <v>307463.7</v>
      </c>
      <c r="D9" s="30" t="n">
        <v>9</v>
      </c>
      <c r="E9" s="31" t="n">
        <v>3.06</v>
      </c>
    </row>
    <row r="10">
      <c r="A10" s="28" t="inlineStr">
        <is>
          <t>Denmark</t>
        </is>
      </c>
      <c r="B10" s="28" t="inlineStr">
        <is>
          <t>EMEA</t>
        </is>
      </c>
      <c r="C10" s="29" t="n">
        <v>245637.15</v>
      </c>
      <c r="D10" s="28" t="n">
        <v>7</v>
      </c>
      <c r="E10" s="29" t="n">
        <v>2.45</v>
      </c>
    </row>
    <row r="11">
      <c r="A11" s="30" t="inlineStr">
        <is>
          <t>Canada</t>
        </is>
      </c>
      <c r="B11" s="30" t="inlineStr">
        <is>
          <t>NA</t>
        </is>
      </c>
      <c r="C11" s="31" t="n">
        <v>224078.56</v>
      </c>
      <c r="D11" s="30" t="n">
        <v>7</v>
      </c>
      <c r="E11" s="31" t="n">
        <v>2.23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2" t="inlineStr">
        <is>
          <t>Deal Size</t>
        </is>
      </c>
      <c r="B1" s="12" t="inlineStr">
        <is>
          <t>Num Orders</t>
        </is>
      </c>
      <c r="C1" s="12" t="inlineStr">
        <is>
          <t>Total Revenue</t>
        </is>
      </c>
      <c r="D1" s="12" t="inlineStr">
        <is>
          <t>Avg Sale</t>
        </is>
      </c>
      <c r="E1" s="12" t="inlineStr">
        <is>
          <t>Min Sale</t>
        </is>
      </c>
      <c r="F1" s="12" t="inlineStr">
        <is>
          <t>Max Sale</t>
        </is>
      </c>
    </row>
    <row r="2">
      <c r="A2" s="28" t="inlineStr">
        <is>
          <t>Medium</t>
        </is>
      </c>
      <c r="B2" s="28" t="n">
        <v>1384</v>
      </c>
      <c r="C2" s="29" t="n">
        <v>6087432.24</v>
      </c>
      <c r="D2" s="29" t="n">
        <v>4398.43</v>
      </c>
      <c r="E2" s="29" t="n">
        <v>3002.4</v>
      </c>
      <c r="F2" s="29" t="n">
        <v>6996.42</v>
      </c>
    </row>
    <row r="3">
      <c r="A3" s="30" t="inlineStr">
        <is>
          <t>Small</t>
        </is>
      </c>
      <c r="B3" s="30" t="n">
        <v>1282</v>
      </c>
      <c r="C3" s="31" t="n">
        <v>2643077.35</v>
      </c>
      <c r="D3" s="31" t="n">
        <v>2061.68</v>
      </c>
      <c r="E3" s="31" t="n">
        <v>482.13</v>
      </c>
      <c r="F3" s="31" t="n">
        <v>2999.97</v>
      </c>
    </row>
    <row r="4">
      <c r="A4" s="28" t="inlineStr">
        <is>
          <t>Large</t>
        </is>
      </c>
      <c r="B4" s="28" t="n">
        <v>157</v>
      </c>
      <c r="C4" s="29" t="n">
        <v>1302119.26</v>
      </c>
      <c r="D4" s="29" t="n">
        <v>8293.75</v>
      </c>
      <c r="E4" s="29" t="n">
        <v>7016.31</v>
      </c>
      <c r="F4" s="29" t="n">
        <v>14082.8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4" customWidth="1" min="4" max="4"/>
    <col width="18" customWidth="1" min="5" max="5"/>
  </cols>
  <sheetData>
    <row r="1" ht="22" customHeight="1">
      <c r="A1" s="12" t="inlineStr">
        <is>
          <t>Customer Name</t>
        </is>
      </c>
      <c r="B1" s="12" t="inlineStr">
        <is>
          <t>Country</t>
        </is>
      </c>
      <c r="C1" s="12" t="inlineStr">
        <is>
          <t>Total Spent</t>
        </is>
      </c>
      <c r="D1" s="12" t="inlineStr">
        <is>
          <t>Num Orders</t>
        </is>
      </c>
      <c r="E1" s="12" t="inlineStr">
        <is>
          <t>Avg Order Value</t>
        </is>
      </c>
    </row>
    <row r="2">
      <c r="A2" s="28" t="inlineStr">
        <is>
          <t>Euro Shopping Channel</t>
        </is>
      </c>
      <c r="B2" s="28" t="inlineStr">
        <is>
          <t>Spain</t>
        </is>
      </c>
      <c r="C2" s="29" t="n">
        <v>912294.11</v>
      </c>
      <c r="D2" s="28" t="n">
        <v>26</v>
      </c>
      <c r="E2" s="29" t="n">
        <v>3522.37</v>
      </c>
    </row>
    <row r="3">
      <c r="A3" s="30" t="inlineStr">
        <is>
          <t>Mini Gifts Distributors Ltd.</t>
        </is>
      </c>
      <c r="B3" s="30" t="inlineStr">
        <is>
          <t>USA</t>
        </is>
      </c>
      <c r="C3" s="31" t="n">
        <v>654858.0600000001</v>
      </c>
      <c r="D3" s="30" t="n">
        <v>17</v>
      </c>
      <c r="E3" s="31" t="n">
        <v>3638.1</v>
      </c>
    </row>
    <row r="4">
      <c r="A4" s="28" t="inlineStr">
        <is>
          <t>Australian Collectors, Co.</t>
        </is>
      </c>
      <c r="B4" s="28" t="inlineStr">
        <is>
          <t>Australia</t>
        </is>
      </c>
      <c r="C4" s="29" t="n">
        <v>200995.41</v>
      </c>
      <c r="D4" s="28" t="n">
        <v>5</v>
      </c>
      <c r="E4" s="29" t="n">
        <v>3654.46</v>
      </c>
    </row>
    <row r="5">
      <c r="A5" s="30" t="inlineStr">
        <is>
          <t>Muscle Machine Inc</t>
        </is>
      </c>
      <c r="B5" s="30" t="inlineStr">
        <is>
          <t>USA</t>
        </is>
      </c>
      <c r="C5" s="31" t="n">
        <v>197736.94</v>
      </c>
      <c r="D5" s="30" t="n">
        <v>4</v>
      </c>
      <c r="E5" s="31" t="n">
        <v>4119.52</v>
      </c>
    </row>
    <row r="6">
      <c r="A6" s="28" t="inlineStr">
        <is>
          <t>La Rochelle Gifts</t>
        </is>
      </c>
      <c r="B6" s="28" t="inlineStr">
        <is>
          <t>France</t>
        </is>
      </c>
      <c r="C6" s="29" t="n">
        <v>180124.9</v>
      </c>
      <c r="D6" s="28" t="n">
        <v>4</v>
      </c>
      <c r="E6" s="29" t="n">
        <v>3398.58</v>
      </c>
    </row>
    <row r="7">
      <c r="A7" s="30" t="inlineStr">
        <is>
          <t>Dragon Souveniers, Ltd.</t>
        </is>
      </c>
      <c r="B7" s="30" t="inlineStr">
        <is>
          <t>Singapore</t>
        </is>
      </c>
      <c r="C7" s="31" t="n">
        <v>172989.68</v>
      </c>
      <c r="D7" s="30" t="n">
        <v>5</v>
      </c>
      <c r="E7" s="31" t="n">
        <v>4023.02</v>
      </c>
    </row>
    <row r="8">
      <c r="A8" s="28" t="inlineStr">
        <is>
          <t>Land of Toys Inc.</t>
        </is>
      </c>
      <c r="B8" s="28" t="inlineStr">
        <is>
          <t>USA</t>
        </is>
      </c>
      <c r="C8" s="29" t="n">
        <v>164069.44</v>
      </c>
      <c r="D8" s="28" t="n">
        <v>4</v>
      </c>
      <c r="E8" s="29" t="n">
        <v>3348.36</v>
      </c>
    </row>
    <row r="9">
      <c r="A9" s="30" t="inlineStr">
        <is>
          <t>The Sharp Gifts Warehouse</t>
        </is>
      </c>
      <c r="B9" s="30" t="inlineStr">
        <is>
          <t>USA</t>
        </is>
      </c>
      <c r="C9" s="31" t="n">
        <v>160010.27</v>
      </c>
      <c r="D9" s="30" t="n">
        <v>4</v>
      </c>
      <c r="E9" s="31" t="n">
        <v>4000.26</v>
      </c>
    </row>
    <row r="10">
      <c r="A10" s="28" t="inlineStr">
        <is>
          <t>AV Stores, Co.</t>
        </is>
      </c>
      <c r="B10" s="28" t="inlineStr">
        <is>
          <t>UK</t>
        </is>
      </c>
      <c r="C10" s="29" t="n">
        <v>157807.81</v>
      </c>
      <c r="D10" s="28" t="n">
        <v>3</v>
      </c>
      <c r="E10" s="29" t="n">
        <v>3094.27</v>
      </c>
    </row>
    <row r="11">
      <c r="A11" s="30" t="inlineStr">
        <is>
          <t>Anna's Decorations, Ltd</t>
        </is>
      </c>
      <c r="B11" s="30" t="inlineStr">
        <is>
          <t>Australia</t>
        </is>
      </c>
      <c r="C11" s="31" t="n">
        <v>153996.13</v>
      </c>
      <c r="D11" s="30" t="n">
        <v>4</v>
      </c>
      <c r="E11" s="31" t="n">
        <v>3347.74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2026-04-01T09:57:32Z</dcterms:created>
  <dcterms:modified xmlns:dcterms="http://purl.org/dc/terms/" xmlns:xsi="http://www.w3.org/2001/XMLSchema-instance" xsi:type="dcterms:W3CDTF">2026-04-01T09:57:32Z</dcterms:modified>
</cp:coreProperties>
</file>